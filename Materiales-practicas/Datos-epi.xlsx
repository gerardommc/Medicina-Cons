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-ep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<sst xmlns="http://schemas.openxmlformats.org/spreadsheetml/2006/main" count="8" uniqueCount="8">
  <si>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Tiempo</t>
  </si>
  <si>
    <t xml:space="preserve">Susceptibles</t>
  </si>
  <si>
    <t xml:space="preserve">Infectados</t>
  </si>
  <si>
    <t xml:space="preserve">Recuperados</t>
  </si>
  <si>
    <t xml:space="preserve">Prevalencia puntual</t>
  </si>
  <si>
    <t xml:space="preserve">Incidencia</t>
  </si>
  <si>
    <t xml:space="preserve">Razón de Momios</t>
  </si>
  <si>
    <t xml:space="preserve">Seroprevalencia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</si>
</sst>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3" colorId="64" zoomScale="180" zoomScaleNormal="180" zoomScalePageLayoutView="100" workbookViewId="0">
      <selection pane="topLeft" activeCell="F20" activeCellId="0" sqref="F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12"/>
    <col collapsed="false" customWidth="true" hidden="false" outlineLevel="0" max="3" min="3" style="0" width="10.06"/>
    <col collapsed="false" customWidth="true" hidden="false" outlineLevel="0" max="4" min="4" style="0" width="12.15"/>
    <col collapsed="false" customWidth="true" hidden="false" outlineLevel="0" max="5" min="5" style="0" width="19.02"/>
    <col collapsed="false" customWidth="true" hidden="false" outlineLevel="0" max="7" min="7" style="0" width="11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0" t="n">
        <v>30</v>
      </c>
      <c r="C2" s="0" t="n">
        <v>0</v>
      </c>
      <c r="D2" s="0" t="n">
        <v>0</v>
      </c>
      <c r="E2" s="0" t="n">
        <f aca="false">C2/SUM(B2:D2)</f>
        <v>0</v>
      </c>
      <c r="F2" s="0" t="n">
        <f aca="false">C2/SUM(B2:D2)</f>
        <v>0</v>
      </c>
      <c r="G2" s="0" t="n">
        <f aca="false">C2/B2</f>
        <v>0</v>
      </c>
      <c r="H2" s="0" t="n">
        <f aca="false">D2/SUM(B2:D2)</f>
        <v>0</v>
      </c>
    </row>
    <row r="3" customFormat="false" ht="12.8" hidden="false" customHeight="false" outlineLevel="0" collapsed="false">
      <c r="A3" s="0" t="n">
        <v>2</v>
      </c>
      <c r="B3" s="0" t="n">
        <v>40</v>
      </c>
      <c r="C3" s="0" t="n">
        <v>2</v>
      </c>
      <c r="D3" s="0" t="n">
        <v>0</v>
      </c>
      <c r="E3" s="0" t="n">
        <f aca="false">C3/SUM(B3:D3)</f>
        <v>0.0476190476190476</v>
      </c>
      <c r="F3" s="0" t="n">
        <f aca="false">(C3-C2)/SUM(B2:D2)</f>
        <v>0.0666666666666667</v>
      </c>
      <c r="G3" s="0" t="n">
        <f aca="false">C3/B3</f>
        <v>0.05</v>
      </c>
      <c r="H3" s="0" t="n">
        <f aca="false">D3/SUM(B3:D3)</f>
        <v>0</v>
      </c>
    </row>
    <row r="4" customFormat="false" ht="12.8" hidden="false" customHeight="false" outlineLevel="0" collapsed="false">
      <c r="A4" s="0" t="n">
        <v>3</v>
      </c>
      <c r="B4" s="0" t="n">
        <v>44</v>
      </c>
      <c r="C4" s="0" t="n">
        <v>2</v>
      </c>
      <c r="D4" s="0" t="n">
        <v>0</v>
      </c>
      <c r="E4" s="0" t="n">
        <f aca="false">C4/SUM(B4:D4)</f>
        <v>0.0434782608695652</v>
      </c>
      <c r="F4" s="0" t="n">
        <f aca="false">(C4-C3)/SUM(B3:D3)</f>
        <v>0</v>
      </c>
      <c r="G4" s="0" t="n">
        <f aca="false">C4/B4</f>
        <v>0.0454545454545455</v>
      </c>
      <c r="H4" s="0" t="n">
        <f aca="false">D4/SUM(B4:D4)</f>
        <v>0</v>
      </c>
    </row>
    <row r="5" customFormat="false" ht="12.8" hidden="false" customHeight="false" outlineLevel="0" collapsed="false">
      <c r="A5" s="0" t="n">
        <v>4</v>
      </c>
      <c r="B5" s="0" t="n">
        <v>48</v>
      </c>
      <c r="C5" s="0" t="n">
        <v>4</v>
      </c>
      <c r="D5" s="0" t="n">
        <v>0</v>
      </c>
      <c r="E5" s="0" t="n">
        <f aca="false">C5/SUM(B5:D5)</f>
        <v>0.0769230769230769</v>
      </c>
      <c r="F5" s="0" t="n">
        <f aca="false">(C5-C4)/SUM(B4:D4)</f>
        <v>0.0434782608695652</v>
      </c>
      <c r="G5" s="0" t="n">
        <f aca="false">C5/B5</f>
        <v>0.0833333333333333</v>
      </c>
      <c r="H5" s="0" t="n">
        <f aca="false">D5/SUM(B5:D5)</f>
        <v>0</v>
      </c>
    </row>
    <row r="6" customFormat="false" ht="12.8" hidden="false" customHeight="false" outlineLevel="0" collapsed="false">
      <c r="A6" s="0" t="n">
        <v>5</v>
      </c>
      <c r="B6" s="0" t="n">
        <v>55</v>
      </c>
      <c r="C6" s="0" t="n">
        <v>4</v>
      </c>
      <c r="D6" s="0" t="n">
        <v>0</v>
      </c>
      <c r="E6" s="0" t="n">
        <f aca="false">C6/SUM(B6:D6)</f>
        <v>0.0677966101694915</v>
      </c>
      <c r="F6" s="0" t="n">
        <f aca="false">(C6-C5)/SUM(B5:D5)</f>
        <v>0</v>
      </c>
      <c r="G6" s="0" t="n">
        <f aca="false">C6/B6</f>
        <v>0.0727272727272727</v>
      </c>
      <c r="H6" s="0" t="n">
        <f aca="false">D6/SUM(B6:D6)</f>
        <v>0</v>
      </c>
    </row>
    <row r="7" customFormat="false" ht="12.8" hidden="false" customHeight="false" outlineLevel="0" collapsed="false">
      <c r="A7" s="0" t="n">
        <v>6</v>
      </c>
      <c r="B7" s="0" t="n">
        <v>58</v>
      </c>
      <c r="C7" s="0" t="n">
        <v>5</v>
      </c>
      <c r="D7" s="0" t="n">
        <v>0</v>
      </c>
      <c r="E7" s="0" t="n">
        <f aca="false">C7/SUM(B7:D7)</f>
        <v>0.0793650793650794</v>
      </c>
      <c r="F7" s="0" t="n">
        <f aca="false">(C7-C6)/SUM(B6:D6)</f>
        <v>0.0169491525423729</v>
      </c>
      <c r="G7" s="0" t="n">
        <f aca="false">C7/B7</f>
        <v>0.0862068965517241</v>
      </c>
      <c r="H7" s="0" t="n">
        <f aca="false">D7/SUM(B7:D7)</f>
        <v>0</v>
      </c>
    </row>
    <row r="8" customFormat="false" ht="12.8" hidden="false" customHeight="false" outlineLevel="0" collapsed="false">
      <c r="A8" s="0" t="n">
        <v>7</v>
      </c>
      <c r="B8" s="0" t="n">
        <v>72</v>
      </c>
      <c r="C8" s="0" t="n">
        <v>5</v>
      </c>
      <c r="D8" s="0" t="n">
        <v>2</v>
      </c>
      <c r="E8" s="0" t="n">
        <f aca="false">C8/SUM(B8:D8)</f>
        <v>0.0632911392405063</v>
      </c>
      <c r="F8" s="0" t="n">
        <f aca="false">(C8-C7)/SUM(B7:D7)</f>
        <v>0</v>
      </c>
      <c r="G8" s="0" t="n">
        <f aca="false">C8/B8</f>
        <v>0.0694444444444445</v>
      </c>
      <c r="H8" s="0" t="n">
        <f aca="false">D8/SUM(B8:D8)</f>
        <v>0.0253164556962025</v>
      </c>
    </row>
    <row r="9" customFormat="false" ht="12.8" hidden="false" customHeight="false" outlineLevel="0" collapsed="false">
      <c r="A9" s="0" t="n">
        <v>8</v>
      </c>
      <c r="B9" s="0" t="n">
        <v>80</v>
      </c>
      <c r="C9" s="0" t="n">
        <v>2</v>
      </c>
      <c r="D9" s="0" t="n">
        <v>2</v>
      </c>
      <c r="E9" s="0" t="n">
        <f aca="false">C9/SUM(B9:D9)</f>
        <v>0.0238095238095238</v>
      </c>
      <c r="F9" s="0" t="n">
        <f aca="false">(C9-C8)/SUM(B8:D8)</f>
        <v>-0.0379746835443038</v>
      </c>
      <c r="G9" s="0" t="n">
        <f aca="false">C9/B9</f>
        <v>0.025</v>
      </c>
      <c r="H9" s="0" t="n">
        <f aca="false">D9/SUM(B9:D9)</f>
        <v>0.0238095238095238</v>
      </c>
    </row>
    <row r="10" customFormat="false" ht="12.8" hidden="false" customHeight="false" outlineLevel="0" collapsed="false">
      <c r="A10" s="0" t="n">
        <v>9</v>
      </c>
      <c r="B10" s="0" t="n">
        <v>62</v>
      </c>
      <c r="C10" s="0" t="n">
        <v>4</v>
      </c>
      <c r="D10" s="0" t="n">
        <v>2</v>
      </c>
      <c r="E10" s="0" t="n">
        <f aca="false">C10/SUM(B10:D10)</f>
        <v>0.0588235294117647</v>
      </c>
      <c r="F10" s="0" t="n">
        <f aca="false">(C10-C9)/SUM(B9:D9)</f>
        <v>0.0238095238095238</v>
      </c>
      <c r="G10" s="0" t="n">
        <f aca="false">C10/B10</f>
        <v>0.0645161290322581</v>
      </c>
      <c r="H10" s="0" t="n">
        <f aca="false">D10/SUM(B10:D10)</f>
        <v>0.0294117647058824</v>
      </c>
    </row>
    <row r="11" customFormat="false" ht="12.8" hidden="false" customHeight="false" outlineLevel="0" collapsed="false">
      <c r="A11" s="0" t="n">
        <v>10</v>
      </c>
      <c r="B11" s="0" t="n">
        <v>65</v>
      </c>
      <c r="C11" s="0" t="n">
        <v>5</v>
      </c>
      <c r="D11" s="0" t="n">
        <v>2</v>
      </c>
      <c r="E11" s="0" t="n">
        <f aca="false">C11/SUM(B11:D11)</f>
        <v>0.0694444444444445</v>
      </c>
      <c r="F11" s="0" t="n">
        <f aca="false">(C11-C10)/SUM(B10:D10)</f>
        <v>0.0147058823529412</v>
      </c>
      <c r="G11" s="0" t="n">
        <f aca="false">C11/B11</f>
        <v>0.0769230769230769</v>
      </c>
      <c r="H11" s="0" t="n">
        <f aca="false">D11/SUM(B11:D11)</f>
        <v>0.0277777777777778</v>
      </c>
    </row>
    <row r="12" customFormat="false" ht="12.8" hidden="false" customHeight="false" outlineLevel="0" collapsed="false">
      <c r="A12" s="0" t="n">
        <v>11</v>
      </c>
      <c r="B12" s="0" t="n">
        <v>72</v>
      </c>
      <c r="C12" s="0" t="n">
        <v>2</v>
      </c>
      <c r="D12" s="0" t="n">
        <v>3</v>
      </c>
      <c r="E12" s="0" t="n">
        <f aca="false">C12/SUM(B12:D12)</f>
        <v>0.025974025974026</v>
      </c>
      <c r="F12" s="0" t="n">
        <f aca="false">(C12-C11)/SUM(B11:D11)</f>
        <v>-0.0416666666666667</v>
      </c>
      <c r="G12" s="0" t="n">
        <f aca="false">C12/B12</f>
        <v>0.0277777777777778</v>
      </c>
      <c r="H12" s="0" t="n">
        <f aca="false">D12/SUM(B12:D12)</f>
        <v>0.038961038961039</v>
      </c>
    </row>
    <row r="13" customFormat="false" ht="12.8" hidden="false" customHeight="false" outlineLevel="0" collapsed="false">
      <c r="A13" s="0" t="n">
        <v>12</v>
      </c>
      <c r="B13" s="0" t="n">
        <v>63</v>
      </c>
      <c r="C13" s="0" t="n">
        <v>6</v>
      </c>
      <c r="D13" s="0" t="n">
        <v>3</v>
      </c>
      <c r="E13" s="0" t="n">
        <f aca="false">C13/SUM(B13:D13)</f>
        <v>0.0833333333333333</v>
      </c>
      <c r="F13" s="0" t="n">
        <f aca="false">(C13-C12)/SUM(B12:D12)</f>
        <v>0.051948051948052</v>
      </c>
      <c r="G13" s="0" t="n">
        <f aca="false">C13/B13</f>
        <v>0.0952380952380952</v>
      </c>
      <c r="H13" s="0" t="n">
        <f aca="false">D13/SUM(B13:D13)</f>
        <v>0.0416666666666667</v>
      </c>
    </row>
    <row r="14" customFormat="false" ht="12.8" hidden="false" customHeight="false" outlineLevel="0" collapsed="false">
      <c r="A14" s="0" t="n">
        <v>13</v>
      </c>
      <c r="B14" s="0" t="n">
        <v>63</v>
      </c>
      <c r="C14" s="0" t="n">
        <v>5</v>
      </c>
      <c r="D14" s="0" t="n">
        <v>4</v>
      </c>
      <c r="E14" s="0" t="n">
        <f aca="false">C14/SUM(B14:D14)</f>
        <v>0.0694444444444445</v>
      </c>
      <c r="F14" s="0" t="n">
        <f aca="false">(C14-C13)/SUM(B13:D13)</f>
        <v>-0.0138888888888889</v>
      </c>
      <c r="G14" s="0" t="n">
        <f aca="false">C14/B14</f>
        <v>0.0793650793650794</v>
      </c>
      <c r="H14" s="0" t="n">
        <f aca="false">D14/SUM(B14:D14)</f>
        <v>0.0555555555555556</v>
      </c>
    </row>
    <row r="15" customFormat="false" ht="12.8" hidden="false" customHeight="false" outlineLevel="0" collapsed="false">
      <c r="A15" s="0" t="n">
        <v>14</v>
      </c>
      <c r="B15" s="0" t="n">
        <v>77</v>
      </c>
      <c r="C15" s="0" t="n">
        <v>2</v>
      </c>
      <c r="D15" s="0" t="n">
        <v>5</v>
      </c>
      <c r="E15" s="0" t="n">
        <f aca="false">C15/SUM(B15:D15)</f>
        <v>0.0238095238095238</v>
      </c>
      <c r="F15" s="0" t="n">
        <f aca="false">(C15-C14)/SUM(B14:D14)</f>
        <v>-0.0416666666666667</v>
      </c>
      <c r="G15" s="0" t="n">
        <f aca="false">C15/B15</f>
        <v>0.025974025974026</v>
      </c>
      <c r="H15" s="0" t="n">
        <f aca="false">D15/SUM(B15:D15)</f>
        <v>0.0595238095238095</v>
      </c>
    </row>
    <row r="16" customFormat="false" ht="12.8" hidden="false" customHeight="false" outlineLevel="0" collapsed="false">
      <c r="A16" s="0" t="n">
        <v>15</v>
      </c>
      <c r="B16" s="0" t="n">
        <v>73</v>
      </c>
      <c r="C16" s="0" t="n">
        <v>4</v>
      </c>
      <c r="D16" s="0" t="n">
        <v>5</v>
      </c>
      <c r="E16" s="0" t="n">
        <f aca="false">C16/SUM(B16:D16)</f>
        <v>0.0487804878048781</v>
      </c>
      <c r="F16" s="0" t="n">
        <f aca="false">(C16-C15)/SUM(B15:D15)</f>
        <v>0.0238095238095238</v>
      </c>
      <c r="G16" s="0" t="n">
        <f aca="false">C16/B16</f>
        <v>0.0547945205479452</v>
      </c>
      <c r="H16" s="0" t="n">
        <f aca="false">D16/SUM(B16:D16)</f>
        <v>0.0609756097560976</v>
      </c>
    </row>
    <row r="17" customFormat="false" ht="12.8" hidden="false" customHeight="false" outlineLevel="0" collapsed="false">
      <c r="A17" s="0" t="n">
        <v>16</v>
      </c>
      <c r="B17" s="0" t="n">
        <v>90</v>
      </c>
      <c r="C17" s="0" t="n">
        <v>6</v>
      </c>
      <c r="D17" s="0" t="n">
        <v>5</v>
      </c>
      <c r="E17" s="0" t="n">
        <f aca="false">C17/SUM(B17:D17)</f>
        <v>0.0594059405940594</v>
      </c>
      <c r="F17" s="0" t="n">
        <f aca="false">(C17-C16)/SUM(B16:D16)</f>
        <v>0.024390243902439</v>
      </c>
      <c r="G17" s="0" t="n">
        <f aca="false">C17/B17</f>
        <v>0.0666666666666667</v>
      </c>
      <c r="H17" s="0" t="n">
        <f aca="false">D17/SUM(B17:D17)</f>
        <v>0.0495049504950495</v>
      </c>
    </row>
    <row r="18" customFormat="false" ht="12.8" hidden="false" customHeight="false" outlineLevel="0" collapsed="false">
      <c r="A18" s="0" t="n">
        <v>17</v>
      </c>
      <c r="B18" s="0" t="n">
        <v>88</v>
      </c>
      <c r="C18" s="0" t="n">
        <v>5</v>
      </c>
      <c r="D18" s="0" t="n">
        <v>6</v>
      </c>
      <c r="E18" s="0" t="n">
        <f aca="false">C18/SUM(B18:D18)</f>
        <v>0.0505050505050505</v>
      </c>
      <c r="F18" s="0" t="n">
        <f aca="false">(C18-C17)/SUM(B17:D17)</f>
        <v>-0.0099009900990099</v>
      </c>
      <c r="G18" s="0" t="n">
        <f aca="false">C18/B18</f>
        <v>0.0568181818181818</v>
      </c>
      <c r="H18" s="0" t="n">
        <f aca="false">D18/SUM(B18:D18)</f>
        <v>0.0606060606060606</v>
      </c>
    </row>
    <row r="19" customFormat="false" ht="12.8" hidden="false" customHeight="false" outlineLevel="0" collapsed="false">
      <c r="A19" s="0" t="n">
        <v>18</v>
      </c>
      <c r="B19" s="0" t="n">
        <v>88</v>
      </c>
      <c r="C19" s="0" t="n">
        <v>11</v>
      </c>
      <c r="D19" s="0" t="n">
        <v>6</v>
      </c>
      <c r="E19" s="0" t="n">
        <f aca="false">C19/SUM(B19:D19)</f>
        <v>0.104761904761905</v>
      </c>
      <c r="F19" s="0" t="n">
        <f aca="false">(C19-C18)/SUM(B18:D18)</f>
        <v>0.0606060606060606</v>
      </c>
      <c r="G19" s="0" t="n">
        <f aca="false">C19/B19</f>
        <v>0.125</v>
      </c>
      <c r="H19" s="0" t="n">
        <f aca="false">D19/SUM(B19:D19)</f>
        <v>0.0571428571428571</v>
      </c>
    </row>
    <row r="20" customFormat="false" ht="12.8" hidden="false" customHeight="false" outlineLevel="0" collapsed="false">
      <c r="A20" s="0" t="n">
        <v>19</v>
      </c>
      <c r="B20" s="0" t="n">
        <v>106</v>
      </c>
      <c r="C20" s="0" t="n">
        <v>6</v>
      </c>
      <c r="D20" s="0" t="n">
        <v>9</v>
      </c>
      <c r="E20" s="0" t="n">
        <f aca="false">C20/SUM(B20:D20)</f>
        <v>0.0495867768595041</v>
      </c>
      <c r="F20" s="0" t="n">
        <f aca="false">(C20-C19)/SUM(B19:D19)</f>
        <v>-0.0476190476190476</v>
      </c>
      <c r="G20" s="0" t="n">
        <f aca="false">C20/B20</f>
        <v>0.0566037735849057</v>
      </c>
      <c r="H20" s="0" t="n">
        <f aca="false">D20/SUM(B20:D20)</f>
        <v>0.0743801652892562</v>
      </c>
    </row>
    <row r="21" customFormat="false" ht="12.8" hidden="false" customHeight="false" outlineLevel="0" collapsed="false">
      <c r="A21" s="0" t="n">
        <v>20</v>
      </c>
      <c r="B21" s="0" t="n">
        <v>121</v>
      </c>
      <c r="C21" s="0" t="n">
        <v>6</v>
      </c>
      <c r="D21" s="0" t="n">
        <v>9</v>
      </c>
      <c r="E21" s="0" t="n">
        <f aca="false">C21/SUM(B21:D21)</f>
        <v>0.0441176470588235</v>
      </c>
      <c r="F21" s="0" t="n">
        <f aca="false">(C21-C20)/SUM(B20:D20)</f>
        <v>0</v>
      </c>
      <c r="G21" s="0" t="n">
        <f aca="false">C21/B21</f>
        <v>0.0495867768595041</v>
      </c>
      <c r="H21" s="0" t="n">
        <f aca="false">D21/SUM(B21:D21)</f>
        <v>0.0661764705882353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>Gerardo Martín</cp:lastModifiedBy>
  <dcterms:modified xsi:type="dcterms:W3CDTF">2026-09-18T14:49:48Z</dcterms:modified>
  <cp:revision>1</cp:revision>
  <dc:subject/>
  <dc:title/>
</cp:coreProperties>
</file>